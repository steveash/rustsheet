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Tables/pivotTable2.xml" ContentType="application/vnd.openxmlformats-officedocument.spreadsheetml.pivot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P" sheetId="2" r:id="rId2"/>
  </sheets>
  <calcPr calcId="124519" fullCalcOnLoad="1"/>
  <pivotCaches>
    <pivotCache cacheId="1" r:id="rIdPivotCache1"/>
    <pivotCache cacheId="2" r:id="rIdPivotCache2"/>
  </pivotCaches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<sst xmlns="http://schemas.openxmlformats.org/spreadsheetml/2006/main" count="30" uniqueCount="13">
  <si>
    <t>Region</t>
  </si>
  <si>
    <t>Product</t>
  </si>
  <si>
    <t>Sales</t>
  </si>
  <si>
    <t>East</t>
  </si>
  <si>
    <t>A</t>
  </si>
  <si>
    <t>West</t>
  </si>
  <si>
    <t>B</t>
  </si>
  <si>
    <t>C</t>
  </si>
  <si>
    <t>Sum of Sales</t>
  </si>
  <si>
    <t>Column Labels</t>
  </si>
  <si>
    <t>Row Labels</t>
  </si>
  <si>
    <t>Grand Total</t>
  </si>
  <si>
    <t>Average of Sales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</si>
</sst>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sheetMetadata" Target="metadata.xml"/><Relationship Id="rIdPivotCache1" Type="http://schemas.openxmlformats.org/officeDocument/2006/relationships/pivotCacheDefinition" Target="pivotCache/pivotCacheDefinition1.xml"/><Relationship Id="rIdPivotCache2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createdVersion="6" refreshedVersion="6" minRefreshableVersion="3" recordCount="6">
  <cacheSource type="worksheet">
    <worksheetSource ref="A1:C7" sheet="Data"/>
  </cacheSource>
  <cacheFields count="3">
    <cacheField name="Region" numFmtId="0">
      <sharedItems count="2">
        <s v="East"/>
        <s v="West"/>
      </sharedItems>
    </cacheField>
    <cacheField name="Product" numFmtId="0">
      <sharedItems count="3">
        <s v="A"/>
        <s v="B"/>
        <s v="C"/>
      </sharedItems>
    </cacheField>
    <cacheField name="Sales" numFmtId="0">
      <sharedItems containsSemiMixedTypes="0" containsString="0" containsNumber="1" containsInteger="1" minValue="3" maxValue="20"/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OnLoad="1" createdVersion="6" refreshedVersion="6" minRefreshableVersion="3" recordCount="6">
  <cacheSource type="worksheet">
    <worksheetSource ref="A1:C7" sheet="Data"/>
  </cacheSource>
  <cacheFields count="3">
    <cacheField name="Region" numFmtId="0">
      <sharedItems count="2">
        <s v="East"/>
        <s v="West"/>
      </sharedItems>
    </cacheField>
    <cacheField name="Product" numFmtId="0">
      <sharedItems count="3">
        <s v="A"/>
        <s v="B"/>
        <s v="C"/>
      </sharedItems>
    </cacheField>
    <cacheField name="Sales" numFmtId="0">
      <sharedItems containsSemiMixedTypes="0" containsString="0" containsNumber="1" containsInteger="1" minValue="3" maxValue="20"/>
    </cacheField>
  </cacheFields>
</pivotCacheDefinition>
</file>

<file path=xl/pivotCache/pivotCacheRecords1.xml><?xml version="1.0" encoding="utf-8"?>
<pivotCacheRecords xmlns="http://schemas.openxmlformats.org/spreadsheetml/2006/main" count="6">
  <r>
    <x v="0"/>
    <x v="0"/>
    <n v="10"/>
  </r>
  <r>
    <x v="1"/>
    <x v="0"/>
    <n v="20"/>
  </r>
  <r>
    <x v="0"/>
    <x v="1"/>
    <n v="5"/>
  </r>
  <r>
    <x v="1"/>
    <x v="1"/>
    <n v="7"/>
  </r>
  <r>
    <x v="0"/>
    <x v="2"/>
    <n v="3"/>
  </r>
  <r>
    <x v="0"/>
    <x v="0"/>
    <n v="4"/>
  </r>
</pivotCacheRecords>
</file>

<file path=xl/pivotCache/pivotCacheRecords2.xml><?xml version="1.0" encoding="utf-8"?>
<pivotCacheRecords xmlns="http://schemas.openxmlformats.org/spreadsheetml/2006/main" count="6">
  <r>
    <x v="0"/>
    <x v="0"/>
    <n v="10"/>
  </r>
  <r>
    <x v="1"/>
    <x v="0"/>
    <n v="20"/>
  </r>
  <r>
    <x v="0"/>
    <x v="1"/>
    <n v="5"/>
  </r>
  <r>
    <x v="1"/>
    <x v="1"/>
    <n v="7"/>
  </r>
  <r>
    <x v="0"/>
    <x v="2"/>
    <n v="3"/>
  </r>
  <r>
    <x v="0"/>
    <x v="0"/>
    <n v="4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Sum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Names="0">
  <location ref="A3:E7" firstHeaderRow="1" firstDataRow="2" firstDataCol="1"/>
  <pivotFields count="3">
    <pivotField axis="axisRow" showAll="0">
      <items count="3">
        <item x="0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Sales" fld="2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Avg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Names="0">
  <location ref="A20:B23" firstHeaderRow="1" firstDataRow="1" firstDataCol="1"/>
  <pivotFields count="3">
    <pivotField axis="axisRow" showAll="0">
      <items count="3">
        <item x="0"/>
        <item x="1"/>
        <item t="default"/>
      </items>
    </pivotField>
    <pivotField showAll="0"/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Average of Sales" fld="2" subtotal="average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PivotTable1" Type="http://schemas.openxmlformats.org/officeDocument/2006/relationships/pivotTable" Target="../pivotTables/pivotTable1.xml"/><Relationship Id="rIdPivotTable2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10</v>
      </c>
    </row>
    <row r="3" spans="1:3">
      <c r="A3" t="s">
        <v>5</v>
      </c>
      <c r="B3" t="s">
        <v>4</v>
      </c>
      <c r="C3">
        <v>20</v>
      </c>
    </row>
    <row r="4" spans="1:3">
      <c r="A4" t="s">
        <v>3</v>
      </c>
      <c r="B4" t="s">
        <v>6</v>
      </c>
      <c r="C4">
        <v>5</v>
      </c>
    </row>
    <row r="5" spans="1:3">
      <c r="A5" t="s">
        <v>5</v>
      </c>
      <c r="B5" t="s">
        <v>6</v>
      </c>
      <c r="C5">
        <v>7</v>
      </c>
    </row>
    <row r="6" spans="1:3">
      <c r="A6" t="s">
        <v>3</v>
      </c>
      <c r="B6" t="s">
        <v>7</v>
      </c>
      <c r="C6">
        <v>3</v>
      </c>
    </row>
    <row r="7" spans="1:3">
      <c r="A7" t="s">
        <v>3</v>
      </c>
      <c r="B7" t="s">
        <v>4</v>
      </c>
      <c r="C7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3"/>
  <sheetViews>
    <sheetView workbookViewId="0"/>
  </sheetViews>
  <sheetFormatPr defaultRowHeight="15"/>
  <sheetData>
    <row r="1" spans="1:12">
      <c r="H1" cm="1">
        <f t="array" ref="H1">GETPIVOTDATA("Sales",$A$3)</f>
        <v>0</v>
      </c>
      <c r="J1" cm="1">
        <f t="array" ref="J1">GETPIVOTDATA("Sales",$A$20,"Region","East")</f>
        <v>0</v>
      </c>
      <c r="L1" cm="1">
        <f t="array" ref="L1">GETPIVOTDATA("Sales",$A$3,"Region",{"East";"West"})</f>
        <v>0</v>
      </c>
    </row>
    <row r="2" spans="1:12">
      <c r="H2" cm="1">
        <f t="array" ref="H2">GETPIVOTDATA("Sum of Sales",$A$3)</f>
        <v>0</v>
      </c>
      <c r="J2" cm="1">
        <f t="array" ref="J2">GETPIVOTDATA("Average of Sales",$A$20)</f>
        <v>0</v>
      </c>
    </row>
    <row r="3" spans="1:12">
      <c r="A3" t="s">
        <v>8</v>
      </c>
      <c r="B3" t="s">
        <v>9</v>
      </c>
      <c r="H3" cm="1">
        <f t="array" ref="H3">GETPIVOTDATA("Sales",$A$3,"Region","East")</f>
        <v>0</v>
      </c>
      <c r="J3" cm="1">
        <f t="array" ref="J3">GETPIVOTDATA("Sales",$A$20,"Product","A")</f>
        <v>0</v>
      </c>
    </row>
    <row r="4" spans="1:12">
      <c r="A4" t="s">
        <v>10</v>
      </c>
      <c r="B4" t="s">
        <v>4</v>
      </c>
      <c r="C4" t="s">
        <v>6</v>
      </c>
      <c r="D4" t="s">
        <v>7</v>
      </c>
      <c r="E4" t="s">
        <v>11</v>
      </c>
      <c r="H4" cm="1">
        <f t="array" ref="H4">GETPIVOTDATA("Sales",$A$3,"Product","A")</f>
        <v>0</v>
      </c>
      <c r="J4" cm="1">
        <f t="array" ref="J4">GETPIVOTDATA("Sum of Sales",$A$20)</f>
        <v>0</v>
      </c>
    </row>
    <row r="5" spans="1:12">
      <c r="A5" t="s">
        <v>3</v>
      </c>
      <c r="B5">
        <v>14</v>
      </c>
      <c r="C5">
        <v>5</v>
      </c>
      <c r="D5">
        <v>3</v>
      </c>
      <c r="E5">
        <v>22</v>
      </c>
      <c r="H5" cm="1">
        <f t="array" ref="H5">GETPIVOTDATA("Sales",$A$3,"Region","East","Product","A")</f>
        <v>0</v>
      </c>
      <c r="J5" cm="1">
        <f t="array" ref="J5">GETPIVOTDATA("Sales",$A$20)</f>
        <v>0</v>
      </c>
      <c r="L5" cm="1">
        <f t="array" ref="L5">GETPIVOTDATA("Sales",$A$3,"Product",{"A","B","C"})</f>
        <v>0</v>
      </c>
    </row>
    <row r="6" spans="1:12">
      <c r="A6" t="s">
        <v>5</v>
      </c>
      <c r="B6">
        <v>20</v>
      </c>
      <c r="C6">
        <v>7</v>
      </c>
      <c r="E6">
        <v>27</v>
      </c>
      <c r="H6" cm="1">
        <f t="array" ref="H6">GETPIVOTDATA("Sales",$A$3,"Product","A","Region","East")</f>
        <v>0</v>
      </c>
      <c r="J6" cm="1">
        <f t="array" ref="J6">GETPIVOTDATA("Sales",$A$3,"Region",A5)</f>
        <v>0</v>
      </c>
    </row>
    <row r="7" spans="1:12">
      <c r="A7" t="s">
        <v>11</v>
      </c>
      <c r="B7">
        <v>34</v>
      </c>
      <c r="C7">
        <v>12</v>
      </c>
      <c r="D7">
        <v>3</v>
      </c>
      <c r="E7">
        <v>49</v>
      </c>
      <c r="H7" cm="1">
        <f t="array" ref="H7">GETPIVOTDATA("Sales",$A$3,"Region","North")</f>
        <v>0</v>
      </c>
      <c r="J7" cm="1">
        <f t="array" ref="J7">GETPIVOTDATA(C3,$A$3)</f>
        <v>0</v>
      </c>
    </row>
    <row r="8" spans="1:12">
      <c r="H8" cm="1">
        <f t="array" ref="H8">GETPIVOTDATA("Sales",$A$3,"Market","East")</f>
        <v>0</v>
      </c>
      <c r="J8" cm="1">
        <f t="array" ref="J8">GETPIVOTDATA("Sales",$A$3,"Product","a","Region","EAST")</f>
        <v>0</v>
      </c>
    </row>
    <row r="9" spans="1:12">
      <c r="H9" cm="1">
        <f t="array" ref="H9">GETPIVOTDATA("Profit",$A$3)</f>
        <v>0</v>
      </c>
    </row>
    <row r="10" spans="1:12">
      <c r="H10" cm="1">
        <f t="array" ref="H10">GETPIVOTDATA("sales",$A$3,"region","east")</f>
        <v>0</v>
      </c>
    </row>
    <row r="11" spans="1:12">
      <c r="H11" cm="1">
        <f t="array" ref="H11">GETPIVOTDATA("Sales",$C$6)</f>
        <v>0</v>
      </c>
    </row>
    <row r="12" spans="1:12">
      <c r="H12" cm="1">
        <f t="array" ref="H12">GETPIVOTDATA("Sales",$H$30)</f>
        <v>0</v>
      </c>
    </row>
    <row r="13" spans="1:12">
      <c r="H13" cm="1">
        <f t="array" ref="H13">GETPIVOTDATA("Sales",$A$3,"Region","West","Product","C")</f>
        <v>0</v>
      </c>
    </row>
    <row r="14" spans="1:12">
      <c r="H14" cm="1">
        <f t="array" ref="H14">GETPIVOTDATA("Sales",$A$3,"Region","West","Product","B")</f>
        <v>0</v>
      </c>
    </row>
    <row r="15" spans="1:12">
      <c r="H15" cm="1">
        <f t="array" ref="H15">GETPIVOTDATA("Sales",$A$3,"Region")</f>
        <v>0</v>
      </c>
    </row>
    <row r="16" spans="1:12">
      <c r="H16" cm="1">
        <f t="array" ref="H16">GETPIVOTDATA("Sales",$A$3:$E$7)</f>
        <v>0</v>
      </c>
    </row>
    <row r="17" spans="1:8">
      <c r="H17" cm="1">
        <f t="array" ref="H17">GETPIVOTDATA("Sales",$A$3,"Region","East","Region","West")</f>
        <v>0</v>
      </c>
    </row>
    <row r="18" spans="1:8">
      <c r="H18" cm="1">
        <f t="array" ref="H18">GETPIVOTDATA("Sales",$A$3,"Region"," East")</f>
        <v>0</v>
      </c>
    </row>
    <row r="19" spans="1:8">
      <c r="H19" cm="1">
        <f t="array" ref="H19">GETPIVOTDATA(" Sales ",$A$3)</f>
        <v>0</v>
      </c>
    </row>
    <row r="20" spans="1:8">
      <c r="A20" t="s">
        <v>10</v>
      </c>
      <c r="B20" t="s">
        <v>12</v>
      </c>
      <c r="H20" cm="1">
        <f t="array" ref="H20">GETPIVOTDATA("Sales",Data!$A$1)</f>
        <v>0</v>
      </c>
    </row>
    <row r="21" spans="1:8">
      <c r="A21" t="s">
        <v>3</v>
      </c>
      <c r="B21">
        <v>5.5</v>
      </c>
    </row>
    <row r="22" spans="1:8">
      <c r="A22" t="s">
        <v>5</v>
      </c>
      <c r="B22">
        <v>13.5</v>
      </c>
    </row>
    <row r="23" spans="1:8">
      <c r="A23" t="s">
        <v>11</v>
      </c>
      <c r="B23">
        <v>8.166666666666666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
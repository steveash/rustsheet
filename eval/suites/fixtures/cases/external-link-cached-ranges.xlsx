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90" yWindow="135" windowWidth="13770" windowHeight="7365"/>
  </bookViews>
  <sheets>
    <sheet name="Refs" sheetId="1" r:id="rId1"/>
    <sheet name="DS1" sheetId="4" r:id="rId2"/>
    <sheet name="DS2" sheetId="2" r:id="rId3"/>
  </sheets>
  <externalReferences>
    <externalReference r:id="rId4"/>
  </externalReferences>
  <calcPr calcId="145621"/>
</workbook>
</file>

<file path=xl/sharedStrings.xml><?xml version="1.0" encoding="utf-8"?>
<sst xmlns="http://schemas.openxmlformats.org/spreadsheetml/2006/main" count="4" uniqueCount="4">
  <si>
    <t>This row is local</t>
  </si>
  <si>
    <t>DS1</t>
  </si>
  <si>
    <t>DS2</t>
  </si>
  <si>
    <t>This row is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</si>
</sst>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673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es"/>
      <sheetName val="Defines"/>
      <sheetName val="56737"/>
    </sheetNames>
    <definedNames>
      <definedName name="NR_Global_B2" refersTo="='Defines'!$B$2"/>
      <definedName name="NR_Range" refersTo="='Uses'!$A$1:$B$3"/>
      <definedName name="NR_Local_Range" refersTo="='Defines'!$A$1:$B$2" sheetId="1"/>
      <definedName name="NR_To_A1" refersTo="='Defines'!$A$1" sheetId="1"/>
    </definedNames>
    <sheetDataSet>
      <sheetData sheetId="0">
        <row r="1">
          <cell r="A1" t="str">
            <v>Hello!</v>
          </cell>
          <cell r="B1">
            <v>10</v>
          </cell>
          <cell r="C1" t="e">
            <v>#N/A</v>
          </cell>
        </row>
        <row r="2">
          <cell r="A2">
            <v>5</v>
          </cell>
          <cell r="B2" t="str">
            <v>7</v>
          </cell>
          <cell r="C2">
            <v>1</v>
          </cell>
        </row>
        <row r="3">
          <cell r="A3" t="b">
            <v>1</v>
          </cell>
        </row>
      </sheetData>
      <sheetData sheetId="1">
        <row r="1">
          <cell r="A1" t="str">
            <v>Test A1</v>
          </cell>
        </row>
        <row r="2">
          <cell r="B2">
            <v>142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SUM</t>
        </is>
      </c>
      <c r="B1">
        <f>SUM([1]Uses!$A$1:$B$3)</f>
        <v>0</v>
      </c>
    </row>
    <row r="2">
      <c r="A2" t="inlineStr">
        <is>
          <t>COUNT</t>
        </is>
      </c>
      <c r="B2">
        <f>COUNT([1]Uses!$A$1:$B$3)</f>
        <v>0</v>
      </c>
    </row>
    <row r="3">
      <c r="A3" t="inlineStr">
        <is>
          <t>COUNTA</t>
        </is>
      </c>
      <c r="B3">
        <f>COUNTA([1]Uses!$A$1:$B$3)</f>
        <v>0</v>
      </c>
    </row>
    <row r="4">
      <c r="A4" t="inlineStr">
        <is>
          <t>AVERAGE</t>
        </is>
      </c>
      <c r="B4">
        <f>AVERAGE([1]Uses!$A$1:$B$3)</f>
        <v>0</v>
      </c>
    </row>
    <row r="5">
      <c r="A5" t="inlineStr">
        <is>
          <t>MAX</t>
        </is>
      </c>
      <c r="B5">
        <f>MAX([1]Uses!$A$1:$B$3)</f>
        <v>0</v>
      </c>
    </row>
    <row r="6">
      <c r="A6" t="inlineStr">
        <is>
          <t>PRODUCT</t>
        </is>
      </c>
      <c r="B6">
        <f>PRODUCT([1]Uses!$A$1:$B$3)</f>
        <v>0</v>
      </c>
    </row>
    <row r="7">
      <c r="A7" t="inlineStr">
        <is>
          <t>SUMPRODUCT</t>
        </is>
      </c>
      <c r="B7">
        <f>SUMPRODUCT([1]Uses!$A$1:$B$3)</f>
        <v>0</v>
      </c>
    </row>
    <row r="8">
      <c r="A8" t="inlineStr">
        <is>
          <t>ISREF</t>
        </is>
      </c>
      <c r="B8">
        <f>ISREF([1]Uses!$A$1:$B$3)</f>
        <v>0</v>
      </c>
    </row>
    <row r="9">
      <c r="A9" t="inlineStr">
        <is>
          <t>ROWS</t>
        </is>
      </c>
      <c r="B9">
        <f>ROWS([1]Uses!$A$1:$B$3)</f>
        <v>0</v>
      </c>
    </row>
    <row r="10">
      <c r="A10" t="inlineStr">
        <is>
          <t>COLUMNS</t>
        </is>
      </c>
      <c r="B10">
        <f>COLUMNS([1]Uses!$A$1:$B$3)</f>
        <v>0</v>
      </c>
    </row>
    <row r="11">
      <c r="A11" t="inlineStr">
        <is>
          <t>COUNTIF</t>
        </is>
      </c>
      <c r="B11">
        <f>COUNTIF([1]Uses!$A$1:$B$3,"&gt;0")</f>
        <v>0</v>
      </c>
    </row>
    <row r="12">
      <c r="A12" t="inlineStr">
        <is>
          <t>SUMIF</t>
        </is>
      </c>
      <c r="B12">
        <f>SUMIF([1]Uses!$A$1:$B$3,"&gt;0")</f>
        <v>0</v>
      </c>
    </row>
    <row r="13">
      <c r="A13" t="inlineStr">
        <is>
          <t>COUNTBLANK</t>
        </is>
      </c>
      <c r="B13">
        <f>COUNTBLANK([1]Uses!$A$1:$B$3)</f>
        <v>0</v>
      </c>
    </row>
    <row r="14">
      <c r="A14" t="inlineStr">
        <is>
          <t>VLOOKUP</t>
        </is>
      </c>
      <c r="B14">
        <f>VLOOKUP(5,[1]Uses!$A$1:$B$3,2,FALSE)</f>
        <v>0</v>
      </c>
    </row>
    <row r="15">
      <c r="A15" t="inlineStr">
        <is>
          <t>MATCH</t>
        </is>
      </c>
      <c r="B15">
        <f>MATCH(10,[1]Uses!$B$1:$B$3,0)</f>
        <v>0</v>
      </c>
    </row>
    <row r="16">
      <c r="A16" t="inlineStr">
        <is>
          <t>INDEX22</t>
        </is>
      </c>
      <c r="B16">
        <f>INDEX([1]Uses!$A$1:$B$3,2,2)</f>
        <v>0</v>
      </c>
    </row>
    <row r="17">
      <c r="A17" t="inlineStr">
        <is>
          <t>INDEX13</t>
        </is>
      </c>
      <c r="B17">
        <f>INDEX([1]Uses!$A$1:$B$3,1,1)</f>
        <v>0</v>
      </c>
    </row>
    <row r="18">
      <c r="A18" t="inlineStr">
        <is>
          <t>INDEX32</t>
        </is>
      </c>
      <c r="B18">
        <f>INDEX([1]Uses!$A$1:$B$3,3,2)</f>
        <v>0</v>
      </c>
    </row>
    <row r="19">
      <c r="A19" t="inlineStr">
        <is>
          <t>SUM1text</t>
        </is>
      </c>
      <c r="B19">
        <f>SUM([1]Uses!$A$1)</f>
        <v>0</v>
      </c>
    </row>
    <row r="20">
      <c r="A20" t="inlineStr">
        <is>
          <t>SUM1bool</t>
        </is>
      </c>
      <c r="B20">
        <f>SUM([1]Uses!$A$3)</f>
        <v>0</v>
      </c>
    </row>
    <row r="21">
      <c r="A21" t="inlineStr">
        <is>
          <t>SUM1numtext</t>
        </is>
      </c>
      <c r="B21">
        <f>SUM([1]Uses!$B$2)</f>
        <v>0</v>
      </c>
    </row>
    <row r="22">
      <c r="A22" t="inlineStr">
        <is>
          <t>COUNT1numtext</t>
        </is>
      </c>
      <c r="B22">
        <f>COUNT([1]Uses!$B$2)</f>
        <v>0</v>
      </c>
    </row>
    <row r="23">
      <c r="A23" t="inlineStr">
        <is>
          <t>COUNTA1empty</t>
        </is>
      </c>
      <c r="B23">
        <f>COUNTA([1]Uses!$B$3)</f>
        <v>0</v>
      </c>
    </row>
    <row r="24">
      <c r="A24" t="inlineStr">
        <is>
          <t>ref1empty</t>
        </is>
      </c>
      <c r="B24">
        <f>[1]Uses!$B$3</f>
        <v>0</v>
      </c>
    </row>
    <row r="25">
      <c r="A25" t="inlineStr">
        <is>
          <t>SUMerr</t>
        </is>
      </c>
      <c r="B25">
        <f>SUM([1]Uses!$C$1:$C$2)</f>
        <v>0</v>
      </c>
    </row>
    <row r="26">
      <c r="A26" t="inlineStr">
        <is>
          <t>COUNTerr</t>
        </is>
      </c>
      <c r="B26">
        <f>COUNT([1]Uses!$C$1:$C$2)</f>
        <v>0</v>
      </c>
    </row>
    <row r="27">
      <c r="A27" t="inlineStr">
        <is>
          <t>COUNTAerr</t>
        </is>
      </c>
      <c r="B27">
        <f>COUNTA([1]Uses!$C$1:$C$2)</f>
        <v>0</v>
      </c>
    </row>
    <row r="28">
      <c r="A28" t="inlineStr">
        <is>
          <t>SUMwide</t>
        </is>
      </c>
      <c r="B28">
        <f>SUM([1]Uses!$A$1:$D$10)</f>
        <v>0</v>
      </c>
    </row>
    <row r="29">
      <c r="A29" t="inlineStr">
        <is>
          <t>COUNTAwide</t>
        </is>
      </c>
      <c r="B29">
        <f>COUNTA([1]Uses!$A$1:$D$10)</f>
        <v>0</v>
      </c>
    </row>
    <row r="30">
      <c r="A30" t="inlineStr">
        <is>
          <t>COUNTBLANKwide</t>
        </is>
      </c>
      <c r="B30">
        <f>COUNTBLANK([1]Uses!$A$1:$D$10)</f>
        <v>0</v>
      </c>
    </row>
    <row r="31">
      <c r="A31" t="inlineStr">
        <is>
          <t>SUMname</t>
        </is>
      </c>
      <c r="B31">
        <f>SUM([1]!NR_Range)</f>
        <v>0</v>
      </c>
    </row>
    <row r="32">
      <c r="A32" t="inlineStr">
        <is>
          <t>COUNTAname</t>
        </is>
      </c>
      <c r="B32">
        <f>COUNTA([1]!NR_Range)</f>
        <v>0</v>
      </c>
    </row>
    <row r="33">
      <c r="A33" t="inlineStr">
        <is>
          <t>ROWSname</t>
        </is>
      </c>
      <c r="B33">
        <f>ROWS([1]!NR_Range)</f>
        <v>0</v>
      </c>
    </row>
    <row r="34">
      <c r="A34" t="inlineStr">
        <is>
          <t>SUMcol</t>
        </is>
      </c>
      <c r="B34">
        <f>SUM([1]Uses!$B:$B)</f>
        <v>0</v>
      </c>
    </row>
    <row r="35">
      <c r="A35" t="inlineStr">
        <is>
          <t>COUNTAcol</t>
        </is>
      </c>
      <c r="B35">
        <f>COUNTA([1]Uses!$A:$A)</f>
        <v>0</v>
      </c>
    </row>
    <row r="36">
      <c r="A36" t="inlineStr">
        <is>
          <t>SUMunion</t>
        </is>
      </c>
      <c r="B36">
        <f>SUM(([1]Uses!$A$1:$A$2,[1]Uses!$B$1:$B$2))</f>
        <v>0</v>
      </c>
    </row>
    <row r="37">
      <c r="A37" t="inlineStr">
        <is>
          <t>SUMindexcol</t>
        </is>
      </c>
      <c r="B37">
        <f>SUM(INDEX([1]Uses!$A$1:$B$3,0,2))</f>
        <v>0</v>
      </c>
    </row>
    <row r="38">
      <c r="A38" t="inlineStr">
        <is>
          <t>ARR</t>
        </is>
      </c>
      <c r="B38">
        <f>SUM(IFERROR([1]Uses!$A$1:$B$3*1,100))</f>
        <v>0</v>
      </c>
    </row>
    <row r="39">
      <c r="A39" t="inlineStr">
        <is>
          <t>ARRbool</t>
        </is>
      </c>
      <c r="B39">
        <f>SUMPRODUCT(--ISLOGICAL([1]Uses!$A$1:$B$3))</f>
        <v>0</v>
      </c>
    </row>
    <row r="40">
      <c r="A40" t="inlineStr">
        <is>
          <t>ARRblank</t>
        </is>
      </c>
      <c r="B40">
        <f>SUMPRODUCT(--ISBLANK([1]Uses!$A$1:$B$3))</f>
        <v>0</v>
      </c>
    </row>
    <row r="41">
      <c r="A41" t="inlineStr">
        <is>
          <t>ARRtext</t>
        </is>
      </c>
      <c r="B41">
        <f>SUMPRODUCT(--ISTEXT([1]Uses!$A$1:$B$3))</f>
        <v>0</v>
      </c>
    </row>
    <row r="42">
      <c r="A42" t="inlineStr">
        <is>
          <t>AND</t>
        </is>
      </c>
      <c r="B42">
        <f>AND([1]Uses!$A$2:$A$3)</f>
        <v>0</v>
      </c>
    </row>
    <row r="43">
      <c r="A43" t="inlineStr">
        <is>
          <t>MIN</t>
        </is>
      </c>
      <c r="B43">
        <f>MIN([1]Uses!$A$1:$B$3)</f>
        <v>0</v>
      </c>
    </row>
    <row r="44">
      <c r="A44" t="inlineStr">
        <is>
          <t>SUMA2plus</t>
        </is>
      </c>
      <c r="B44">
        <f>SUM([1]Uses!$A$2:$A$3+0)</f>
        <v>0</v>
      </c>
    </row>
    <row r="45">
      <c r="A45" t="inlineStr">
        <is>
          <t>ISREFcell</t>
        </is>
      </c>
      <c r="B45">
        <f>ISREF([1]Uses!$A$1)</f>
        <v>0</v>
      </c>
    </row>
    <row r="46">
      <c r="A46" t="inlineStr">
        <is>
          <t>COUNTIFtext</t>
        </is>
      </c>
      <c r="B46">
        <f>COUNTIF([1]Uses!$A$1:$B$3,"*")</f>
        <v>0</v>
      </c>
    </row>
    <row r="47">
      <c r="A47" t="inlineStr">
        <is>
          <t>XLOOKUP</t>
        </is>
      </c>
      <c r="B47">
        <f>_xlfn.XLOOKUP(10,[1]Uses!$B$1:$B$3,[1]Uses!$A$1:$A$3)</f>
        <v>0</v>
      </c>
    </row>
    <row r="48">
      <c r="A48" t="inlineStr">
        <is>
          <t>ROWSsheetrange2d</t>
        </is>
      </c>
      <c r="B48">
        <f>SUM([1]Defines!$A$1:$B$2)</f>
        <v>0</v>
      </c>
    </row>
    <row r="49">
      <c r="A49" t="inlineStr">
        <is>
          <t>COUNTAdef</t>
        </is>
      </c>
      <c r="B49">
        <f>COUNTA([1]Defines!$A$1:$B$2)</f>
        <v>0</v>
      </c>
    </row>
    <row r="50">
      <c r="A50" t="inlineStr">
        <is>
          <t>fresh_NR_To_A1</t>
        </is>
      </c>
      <c r="B50">
        <f>[1]Defines!NR_To_A1</f>
        <v>0</v>
      </c>
    </row>
    <row r="51">
      <c r="A51" t="inlineStr">
        <is>
          <t>fresh_global</t>
        </is>
      </c>
      <c r="B51">
        <f>[1]!NR_Global_B2</f>
        <v>0</v>
      </c>
    </row>
    <row r="52">
      <c r="A52" t="inlineStr">
        <is>
          <t>ROWSlocal</t>
        </is>
      </c>
      <c r="B52">
        <f>ROWS([1]Defines!NR_Local_Range)</f>
        <v>0</v>
      </c>
    </row>
    <row r="53">
      <c r="A53" t="inlineStr">
        <is>
          <t>AVERAGEA</t>
        </is>
      </c>
      <c r="B53">
        <f>AVERAGEA([1]Uses!$A$1:$B$3)</f>
        <v>0</v>
      </c>
    </row>
    <row r="54">
      <c r="A54" t="inlineStr">
        <is>
          <t>MAXA</t>
        </is>
      </c>
      <c r="B54">
        <f>MAXA([1]Uses!$A$1:$B$3)</f>
        <v>0</v>
      </c>
    </row>
    <row r="55">
      <c r="A55" t="inlineStr">
        <is>
          <t>SUMmissingcells</t>
        </is>
      </c>
      <c r="B55">
        <f>SUM([1]Uses!$E$1:$F$2)</f>
        <v>0</v>
      </c>
    </row>
    <row r="56">
      <c r="A56" t="inlineStr">
        <is>
          <t>SPiferr</t>
        </is>
      </c>
      <c r="B56">
        <f>SUMPRODUCT(IFERROR([1]Uses!$A$1:$B$3*1,100))</f>
        <v>0</v>
      </c>
    </row>
    <row r="57">
      <c r="A57" t="inlineStr">
        <is>
          <t>SUMindexrow</t>
        </is>
      </c>
      <c r="B57">
        <f>SUM(INDEX([1]Uses!$A$1:$B$3,2,0))</f>
        <v>0</v>
      </c>
    </row>
    <row r="58">
      <c r="A58" t="inlineStr">
        <is>
          <t>OFFSET</t>
        </is>
      </c>
      <c r="B58">
        <f>SUM(OFFSET([1]Uses!$A$1,0,1,2,1))</f>
        <v>0</v>
      </c>
    </row>
    <row r="59">
      <c r="A59" t="inlineStr">
        <is>
          <t>SUBTOTAL</t>
        </is>
      </c>
      <c r="B59">
        <f>SUBTOTAL(9,[1]Uses!$A$1:$B$3)</f>
        <v>0</v>
      </c>
    </row>
    <row r="60">
      <c r="A60" t="inlineStr">
        <is>
          <t>AGGREGATE</t>
        </is>
      </c>
      <c r="B60">
        <f>_xlfn.AGGREGATE(9,6,[1]Uses!$A$1:$C$2)</f>
        <v>0</v>
      </c>
    </row>
    <row r="61">
      <c r="A61" t="inlineStr">
        <is>
          <t>HLOOKUP</t>
        </is>
      </c>
      <c r="B61">
        <f>HLOOKUP("Hello!",[1]Uses!$A$1:$B$3,2,FALSE)</f>
        <v>0</v>
      </c>
    </row>
    <row r="62">
      <c r="A62" t="inlineStr">
        <is>
          <t>TYPE</t>
        </is>
      </c>
      <c r="B62">
        <f>TYPE([1]Uses!$A$1:$B$3)</f>
        <v>0</v>
      </c>
    </row>
    <row r="63">
      <c r="A63" t="inlineStr">
        <is>
          <t>N1bool</t>
        </is>
      </c>
      <c r="B63">
        <f>N([1]Uses!$A$3)</f>
        <v>0</v>
      </c>
    </row>
    <row r="64">
      <c r="A64" t="inlineStr">
        <is>
          <t>T1</t>
        </is>
      </c>
      <c r="B64">
        <f>T([1]Uses!$A$1)</f>
        <v>0</v>
      </c>
    </row>
    <row r="65">
      <c r="A65" t="inlineStr">
        <is>
          <t>ISTEXT1</t>
        </is>
      </c>
      <c r="B65">
        <f>ISTEXT([1]Uses!$B$2)</f>
        <v>0</v>
      </c>
    </row>
    <row r="66">
      <c r="A66" t="inlineStr">
        <is>
          <t>ISBLANK1</t>
        </is>
      </c>
      <c r="B66">
        <f>ISBLANK([1]Uses!$B$3)</f>
        <v>0</v>
      </c>
    </row>
    <row r="67">
      <c r="A67" t="inlineStr">
        <is>
          <t>SP2</t>
        </is>
      </c>
      <c r="B67">
        <f>SUMPRODUCT([1]Uses!$A$1:$A$2,[1]Uses!$B$1:$B$2)</f>
        <v>0</v>
      </c>
    </row>
    <row r="68">
      <c r="A68" t="inlineStr">
        <is>
          <t>SUMplus1</t>
        </is>
      </c>
      <c r="B68">
        <f>SUM([1]Uses!$A$1:$B$3,1)</f>
        <v>0</v>
      </c>
    </row>
    <row r="69">
      <c r="A69" t="inlineStr">
        <is>
          <t>COUNTBLANK1</t>
        </is>
      </c>
      <c r="B69">
        <f>COUNTBLANK([1]Uses!$B$3)</f>
        <v>0</v>
      </c>
    </row>
    <row r="70">
      <c r="A70" t="inlineStr">
        <is>
          <t>SUMIFS</t>
        </is>
      </c>
      <c r="B70">
        <f>_xlfn.SUMIFS([1]Uses!$B$1:$B$3,[1]Uses!$A$1:$A$3,5)</f>
        <v>0</v>
      </c>
    </row>
    <row r="71">
      <c r="A71" t="inlineStr">
        <is>
          <t>RANK</t>
        </is>
      </c>
      <c r="B71">
        <f>RANK(5,[1]Uses!$A$1:$B$3)</f>
        <v>0</v>
      </c>
    </row>
    <row r="72">
      <c r="A72" t="inlineStr">
        <is>
          <t>LARGE</t>
        </is>
      </c>
      <c r="B72">
        <f>LARGE([1]Uses!$A$1:$B$3,1)</f>
        <v>0</v>
      </c>
    </row>
    <row r="73">
      <c r="A73" t="inlineStr">
        <is>
          <t>MEDIAN</t>
        </is>
      </c>
      <c r="B73">
        <f>MEDIAN([1]Uses!$A$1:$B$3)</f>
        <v>0</v>
      </c>
    </row>
    <row r="74">
      <c r="A74" t="inlineStr">
        <is>
          <t>XMATCH</t>
        </is>
      </c>
      <c r="B74">
        <f>_xlfn.XMATCH("7",[1]Uses!$B$1:$B$3)</f>
        <v>0</v>
      </c>
    </row>
    <row r="75">
      <c r="A75" t="inlineStr">
        <is>
          <t>CONCAT2</t>
        </is>
      </c>
      <c r="B75">
        <f>_xlfn.CONCAT([1]Uses!$A$1:$B$3)</f>
        <v>0</v>
      </c>
    </row>
    <row r="76">
      <c r="A76" t="inlineStr">
        <is>
          <t>TEXTJOIN</t>
        </is>
      </c>
      <c r="B76">
        <f>_xlfn.TEXTJOIN("|",FALSE,[1]Uses!$A$1:$B$3)</f>
        <v>0</v>
      </c>
    </row>
    <row r="77">
      <c r="A77" t="inlineStr">
        <is>
          <t>COUNTAuncachedcells</t>
        </is>
      </c>
      <c r="B77">
        <f>COUNTA([1]Uses!$E$1:$F$2)</f>
        <v>0</v>
      </c>
    </row>
    <row r="78">
      <c r="A78" t="inlineStr">
        <is>
          <t>ERRTYPEsheetname</t>
        </is>
      </c>
      <c r="B78">
        <f>ERROR.TYPE([1]Defines!NR_Local_Range)</f>
        <v>0</v>
      </c>
    </row>
    <row r="79">
      <c r="A79" t="inlineStr">
        <is>
          <t>ISREFname</t>
        </is>
      </c>
      <c r="B79">
        <f>ISREF([1]!NR_Range)</f>
        <v>0</v>
      </c>
    </row>
    <row r="80">
      <c r="A80" t="inlineStr">
        <is>
          <t>SUMIFname</t>
        </is>
      </c>
      <c r="B80">
        <f>_xlfn.SUMIFS([1]!NR_Range,[1]!NR_Range,"&gt;0")</f>
        <v>0</v>
      </c>
    </row>
    <row r="81">
      <c r="A81" t="inlineStr">
        <is>
          <t>AREAS</t>
        </is>
      </c>
      <c r="B81">
        <f>AREAS([1]Uses!$A$1:$B$3)</f>
        <v>0</v>
      </c>
    </row>
    <row r="82">
      <c r="A82" t="inlineStr">
        <is>
          <t>COUNT2d3</t>
        </is>
      </c>
      <c r="B82">
        <f>COUNT([1]Uses!$A$1:$C$3)</f>
        <v>0</v>
      </c>
    </row>
    <row r="83">
      <c r="A83" t="inlineStr">
        <is>
          <t>IDXlift11</t>
        </is>
      </c>
      <c r="B83">
        <f t="array" ref="B83:C83">INDEX([1]Uses!$A$1:$B$3,{1,2},1)</f>
        <v>0</v>
      </c>
      <c r="C83">
        <v>0</v>
      </c>
    </row>
    <row r="84">
      <c r="A84" t="inlineStr">
        <is>
          <t>IDXlift22</t>
        </is>
      </c>
      <c r="B84">
        <f t="array" ref="B84:C84">INDEX([1]Uses!$A$1:$B$3,{2,3},2)</f>
        <v>0</v>
      </c>
      <c r="C84">
        <v>0</v>
      </c>
    </row>
    <row r="85">
      <c r="A85" t="inlineStr">
        <is>
          <t>IDXliftWholeCol</t>
        </is>
      </c>
      <c r="B85">
        <f t="array" ref="B85:C85">INDEX([1]Uses!$A$1:$B$3,{0,2},1)</f>
        <v>0</v>
      </c>
      <c r="C85">
        <v>0</v>
      </c>
    </row>
    <row r="86">
      <c r="A86" t="inlineStr">
        <is>
          <t>IDXliftWholeRow</t>
        </is>
      </c>
      <c r="B86">
        <f t="array" ref="B86:C86">INDEX([1]Uses!$A$1:$B$3,{1,2},0)</f>
        <v>0</v>
      </c>
      <c r="C86">
        <v>0</v>
      </c>
    </row>
    <row r="87">
      <c r="A87" t="inlineStr">
        <is>
          <t>IDXliftOOR</t>
        </is>
      </c>
      <c r="B87">
        <f t="array" ref="B87:C87">INDEX([1]Uses!$A$1:$B$3,{1,4},1)</f>
        <v>0</v>
      </c>
      <c r="C87">
        <v>0</v>
      </c>
    </row>
    <row r="88">
      <c r="A88" t="inlineStr">
        <is>
          <t>IDXliftErrCell</t>
        </is>
      </c>
      <c r="B88">
        <f t="array" ref="B88:D88">INDEX([1]Uses!$A$1:$C$3,1,{1,2,3})</f>
        <v>0</v>
      </c>
      <c r="C88">
        <v>0</v>
      </c>
      <c r="D88">
        <v>0</v>
      </c>
    </row>
    <row r="89">
      <c r="A89" t="inlineStr">
        <is>
          <t>IDXliftSUM</t>
        </is>
      </c>
      <c r="B89">
        <f>SUM(INDEX([1]Uses!$A$1:$B$3,{1,2},1))</f>
        <v>0</v>
      </c>
    </row>
    <row r="90">
      <c r="A90" t="inlineStr">
        <is>
          <t>IDXliftROWS</t>
        </is>
      </c>
      <c r="B90">
        <f>ROWS(INDEX([1]Uses!$A$1:$B$3,{1,2},1))</f>
        <v>0</v>
      </c>
    </row>
    <row r="91">
      <c r="A91" t="inlineStr">
        <is>
          <t>IDXliftISREF</t>
        </is>
      </c>
      <c r="B91">
        <f>ISREF(INDEX([1]Uses!$A$1:$B$3,{1,2},1))</f>
        <v>0</v>
      </c>
    </row>
    <row r="92">
      <c r="A92" t="inlineStr">
        <is>
          <t>IDXliftINDEX</t>
        </is>
      </c>
      <c r="B92">
        <f>INDEX(INDEX([1]Uses!$A$1:$B$3,{1,2},1),2)</f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
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90" yWindow="135" windowWidth="13770" windowHeight="7365"/>
  </bookViews>
  <sheets>
    <sheet name="Refs" sheetId="1" r:id="rId1"/>
    <sheet name="DS1" sheetId="4" r:id="rId2"/>
    <sheet name="DS2" sheetId="2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<sst xmlns="http://schemas.openxmlformats.org/spreadsheetml/2006/main" count="4" uniqueCount="4">
  <si>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This row is local</t>
  </si>
  <si>
    <t>DS1</t>
  </si>
  <si>
    <t>DS2</t>
  </si>
  <si>
    <t>This row is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</si>
</sst>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673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s"/>
      <sheetName val="Defines"/>
      <sheetName val="56737"/>
      <sheetName val="Sort"/>
      <sheetName val="Bare"/>
    </sheetNames>
    <definedNames>
      <definedName name="NR_Global_B2" refersTo="='Defines'!$B$2"/>
      <definedName name="NR_Range" refersTo="='Uses'!$A$1:$B$3"/>
      <definedName name="NR_Local_Range" refersTo="='Defines'!$A$1:$B$2" sheetId="1"/>
      <definedName name="NR_To_A1" refersTo="='Defines'!$A$1" sheetId="1"/>
    </definedNames>
    <sheetDataSet>
      <sheetData sheetId="0">
        <row r="1">
          <cell r="A1" t="str">
            <v>Hello!</v>
          </cell>
          <cell r="B1">
            <v>10</v>
          </cell>
          <cell r="C1" t="e">
            <v>#N/A</v>
          </cell>
        </row>
        <row r="2">
          <cell r="A2">
            <v>5</v>
          </cell>
          <cell r="B2" t="str">
            <v>7</v>
          </cell>
          <cell r="C2">
            <v>1</v>
          </cell>
        </row>
        <row r="3">
          <cell r="A3" t="b">
            <v>1</v>
          </cell>
        </row>
      </sheetData>
      <sheetData sheetId="1">
        <row r="1">
          <cell r="A1" t="str">
            <v>Test A1</v>
          </cell>
        </row>
        <row r="2">
          <cell r="B2">
            <v>142</v>
          </cell>
        </row>
      </sheetData>
      <sheetData sheetId="2" refreshError="1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VLOOKUP one cell</t>
        </is>
      </c>
      <c r="B1">
        <f>VLOOKUP(5,[1]Sort!$B$2,1,FALSE)</f>
        <v>0</v>
      </c>
    </row>
    <row r="2">
      <c r="A2" t="inlineStr">
        <is>
          <t>VLOOKUP small range</t>
        </is>
      </c>
      <c r="B2">
        <f>VLOOKUP(5,[1]Sort!$B$2:$D$9,2,FALSE)</f>
        <v>0</v>
      </c>
    </row>
    <row r="3">
      <c r="A3" t="inlineStr">
        <is>
          <t>VLOOKUP whole columns</t>
        </is>
      </c>
      <c r="B3">
        <f>VLOOKUP(5,[1]Sort!$B:$Z,2,FALSE)</f>
        <v>0</v>
      </c>
    </row>
    <row r="4">
      <c r="A4" t="inlineStr">
        <is>
          <t>VLOOKUP whole columns text key</t>
        </is>
      </c>
      <c r="B4">
        <f>VLOOKUP("x",[1]Sort!$B:$Z,2,FALSE)</f>
        <v>0</v>
      </c>
    </row>
    <row r="5">
      <c r="A5" t="inlineStr">
        <is>
          <t>VLOOKUP whole columns approximate</t>
        </is>
      </c>
      <c r="B5">
        <f>VLOOKUP(5,[1]Sort!$B:$Z,2,TRUE)</f>
        <v>0</v>
      </c>
    </row>
    <row r="6">
      <c r="A6" t="inlineStr">
        <is>
          <t>HLOOKUP one cell</t>
        </is>
      </c>
      <c r="B6">
        <f>HLOOKUP(5,[1]Sort!$B$2,1,FALSE)</f>
        <v>0</v>
      </c>
    </row>
    <row r="7">
      <c r="A7" t="inlineStr">
        <is>
          <t>HLOOKUP small range</t>
        </is>
      </c>
      <c r="B7">
        <f>HLOOKUP(5,[1]Sort!$B$2:$D$9,2,FALSE)</f>
        <v>0</v>
      </c>
    </row>
    <row r="8">
      <c r="A8" t="inlineStr">
        <is>
          <t>HLOOKUP whole rows</t>
        </is>
      </c>
      <c r="B8">
        <f>HLOOKUP(5,[1]Sort!$1:$3,2,FALSE)</f>
        <v>0</v>
      </c>
    </row>
    <row r="9">
      <c r="A9" t="inlineStr">
        <is>
          <t>MATCH one cell</t>
        </is>
      </c>
      <c r="B9">
        <f>MATCH(5,[1]Sort!$B$2,0)</f>
        <v>0</v>
      </c>
    </row>
    <row r="10">
      <c r="A10" t="inlineStr">
        <is>
          <t>MATCH small range</t>
        </is>
      </c>
      <c r="B10">
        <f>MATCH(5,[1]Sort!$B$2:$B$9,0)</f>
        <v>0</v>
      </c>
    </row>
    <row r="11">
      <c r="A11" t="inlineStr">
        <is>
          <t>MATCH whole column</t>
        </is>
      </c>
      <c r="B11">
        <f>MATCH(5,[1]Sort!$B:$B,0)</f>
        <v>0</v>
      </c>
    </row>
    <row r="12">
      <c r="A12" t="inlineStr">
        <is>
          <t>MATCH whole column approximate</t>
        </is>
      </c>
      <c r="B12">
        <f>MATCH(5,[1]Sort!$B:$B)</f>
        <v>0</v>
      </c>
    </row>
    <row r="13">
      <c r="A13" t="inlineStr">
        <is>
          <t>XLOOKUP one cell</t>
        </is>
      </c>
      <c r="B13">
        <f>_xlfn.XLOOKUP(5,[1]Sort!$B$2,[1]Sort!$C$2)</f>
        <v>0</v>
      </c>
    </row>
    <row r="14">
      <c r="A14" t="inlineStr">
        <is>
          <t>XLOOKUP small range</t>
        </is>
      </c>
      <c r="B14">
        <f>_xlfn.XLOOKUP(5,[1]Sort!$B$2:$B$9,[1]Sort!$C$2:$C$9)</f>
        <v>0</v>
      </c>
    </row>
    <row r="15">
      <c r="A15" t="inlineStr">
        <is>
          <t>XLOOKUP whole column</t>
        </is>
      </c>
      <c r="B15">
        <f>_xlfn.XLOOKUP(5,[1]Sort!$B:$B,[1]Sort!$C:$C)</f>
        <v>0</v>
      </c>
    </row>
    <row r="16">
      <c r="A16" t="inlineStr">
        <is>
          <t>XLOOKUP whole column if_not_found</t>
        </is>
      </c>
      <c r="B16">
        <f>_xlfn.XLOOKUP(5,[1]Sort!$B:$B,[1]Sort!$C:$C,"none")</f>
        <v>0</v>
      </c>
    </row>
    <row r="17">
      <c r="A17" t="inlineStr">
        <is>
          <t>control VLOOKUP cached whole columns found</t>
        </is>
      </c>
      <c r="B17">
        <f>VLOOKUP(5,[1]Uses!$A:$C,2,FALSE)</f>
        <v>0</v>
      </c>
    </row>
    <row r="18">
      <c r="A18" t="inlineStr">
        <is>
          <t>control MATCH cached whole column found</t>
        </is>
      </c>
      <c r="B18">
        <f>MATCH(5,[1]Uses!$A:$A,0)</f>
        <v>0</v>
      </c>
    </row>
    <row r="19">
      <c r="A19" t="inlineStr">
        <is>
          <t>control XLOOKUP cached whole column found</t>
        </is>
      </c>
      <c r="B19">
        <f>_xlfn.XLOOKUP(5,[1]Uses!$A:$A,[1]Uses!$B:$B)</f>
        <v>0</v>
      </c>
    </row>
    <row r="20">
      <c r="A20" t="inlineStr">
        <is>
          <t>control HLOOKUP cached whole rows found</t>
        </is>
      </c>
      <c r="B20">
        <f>HLOOKUP(10,[1]Uses!$1:$2,2,FALSE)</f>
        <v>0</v>
      </c>
    </row>
    <row r="21">
      <c r="A21" t="inlineStr">
        <is>
          <t>control VLOOKUP cached whole columns not found</t>
        </is>
      </c>
      <c r="B21">
        <f>VLOOKUP(99,[1]Uses!$A:$C,2,FALSE)</f>
        <v>0</v>
      </c>
    </row>
    <row r="22">
      <c r="A22" t="inlineStr">
        <is>
          <t>ERROR.TYPE VLOOKUP whole columns</t>
        </is>
      </c>
      <c r="B22">
        <f>ERROR.TYPE(VLOOKUP(5,[1]Sort!$B:$Z,2,FALSE))</f>
        <v>0</v>
      </c>
    </row>
    <row r="23">
      <c r="A23" t="inlineStr">
        <is>
          <t>ERROR.TYPE VLOOKUP small range</t>
        </is>
      </c>
      <c r="B23">
        <f>ERROR.TYPE(VLOOKUP(5,[1]Sort!$B$2:$D$9,2,FALSE))</f>
        <v>0</v>
      </c>
    </row>
    <row r="24">
      <c r="A24" t="inlineStr">
        <is>
          <t>ERROR.TYPE MATCH whole column</t>
        </is>
      </c>
      <c r="B24">
        <f>ERROR.TYPE(MATCH(5,[1]Sort!$B:$B,0))</f>
        <v>0</v>
      </c>
    </row>
    <row r="25">
      <c r="A25" t="inlineStr">
        <is>
          <t>ERROR.TYPE XLOOKUP whole column</t>
        </is>
      </c>
      <c r="B25">
        <f>ERROR.TYPE(_xlfn.XLOOKUP(5,[1]Sort!$B:$B,[1]Sort!$C:$C))</f>
        <v>0</v>
      </c>
    </row>
    <row r="26">
      <c r="A26" t="inlineStr">
        <is>
          <t>ERROR.TYPE one cell</t>
        </is>
      </c>
      <c r="B26">
        <f>ERROR.TYPE([1]Sort!$B$2)</f>
        <v>0</v>
      </c>
    </row>
    <row r="27">
      <c r="A27" t="inlineStr">
        <is>
          <t>ROWS whole columns</t>
        </is>
      </c>
      <c r="B27">
        <f>ROWS([1]Sort!$B:$Z)</f>
        <v>0</v>
      </c>
    </row>
    <row r="28">
      <c r="A28" t="inlineStr">
        <is>
          <t>IFERROR VLOOKUP whole columns</t>
        </is>
      </c>
      <c r="B28">
        <f>IFERROR(VLOOKUP(5,[1]Sort!$B:$Z,2,FALSE),"fb")</f>
        <v>0</v>
      </c>
    </row>
    <row r="29">
      <c r="A29" t="inlineStr">
        <is>
          <t>empty sheetData VLOOKUP whole columns</t>
        </is>
      </c>
      <c r="B29">
        <f>VLOOKUP(5,[1]Bare!$B:$Z,2,FALSE)</f>
        <v>0</v>
      </c>
    </row>
    <row r="30">
      <c r="A30" t="inlineStr">
        <is>
          <t>empty sheetData MATCH small range</t>
        </is>
      </c>
      <c r="B30">
        <f>MATCH(5,[1]Bare!$B$2:$B$9,0)</f>
        <v>0</v>
      </c>
    </row>
    <row r="31">
      <c r="A31" t="inlineStr">
        <is>
          <t>empty sheetData ERROR.TYPE VLOOKUP</t>
        </is>
      </c>
      <c r="B31">
        <f>ERROR.TYPE(VLOOKUP(5,[1]Bare!$B:$Z,2,FALSE))</f>
        <v>0</v>
      </c>
    </row>
    <row r="32">
      <c r="A32" t="inlineStr">
        <is>
          <t>refreshError VLOOKUP whole columns</t>
        </is>
      </c>
      <c r="B32">
        <f>VLOOKUP(5,'[1]56737'!$B:$Z,2,FALSE)</f>
        <v>0</v>
      </c>
    </row>
    <row r="33">
      <c r="A33" t="inlineStr">
        <is>
          <t>refreshError ERROR.TYPE VLOOKUP</t>
        </is>
      </c>
      <c r="B33">
        <f>ERROR.TYPE(VLOOKUP(5,'[1]56737'!$B:$Z,2,FALSE))</f>
        <v>0</v>
      </c>
    </row>
    <row r="34">
      <c r="A34" t="inlineStr">
        <is>
          <t>ERROR.TYPE MATCH small range</t>
        </is>
      </c>
      <c r="B34">
        <f>ERROR.TYPE(MATCH(5,[1]Sort!$B$2:$B$9,0))</f>
        <v>0</v>
      </c>
    </row>
    <row r="35">
      <c r="A35" t="inlineStr">
        <is>
          <t>ERROR.TYPE HLOOKUP whole rows</t>
        </is>
      </c>
      <c r="B35">
        <f>ERROR.TYPE(HLOOKUP(5,[1]Sort!$1:$3,2,FALSE))</f>
        <v>0</v>
      </c>
    </row>
    <row r="36">
      <c r="A36" t="inlineStr">
        <is>
          <t>ERROR.TYPE XLOOKUP small range</t>
        </is>
      </c>
      <c r="B36">
        <f>ERROR.TYPE(_xlfn.XLOOKUP(5,[1]Sort!$B$2:$B$9,[1]Sort!$C$2:$C$9))</f>
        <v>0</v>
      </c>
    </row>
    <row r="37">
      <c r="A37" t="inlineStr">
        <is>
          <t>direct one cell empty sheetData</t>
        </is>
      </c>
      <c r="B37">
        <f>ERROR.TYPE([1]Bare!$B$2)</f>
        <v>0</v>
      </c>
    </row>
    <row r="38">
      <c r="A38" t="inlineStr">
        <is>
          <t>direct one cell refreshError</t>
        </is>
      </c>
      <c r="B38">
        <f>ERROR.TYPE('[1]56737'!$B$2)</f>
        <v>0</v>
      </c>
    </row>
    <row r="39">
      <c r="A39" t="inlineStr">
        <is>
          <t>direct uncached cell of cached sheet</t>
        </is>
      </c>
      <c r="B39">
        <f>ERROR.TYPE([1]Uses!$Z$99)</f>
        <v>0</v>
      </c>
    </row>
    <row r="40">
      <c r="A40" t="inlineStr">
        <is>
          <t>direct one cell value</t>
        </is>
      </c>
      <c r="B40">
        <f>[1]Sort!$B$2</f>
        <v>0</v>
      </c>
    </row>
    <row r="41">
      <c r="A41" t="inlineStr">
        <is>
          <t>ISBLANK one cell</t>
        </is>
      </c>
      <c r="B41">
        <f>ISBLANK([1]Sort!$B$2)</f>
        <v>0</v>
      </c>
    </row>
    <row r="42">
      <c r="A42" t="inlineStr">
        <is>
          <t>SUM small range</t>
        </is>
      </c>
      <c r="B42">
        <f>SUM([1]Sort!$B$2:$C$3)</f>
        <v>0</v>
      </c>
    </row>
    <row r="43">
      <c r="A43" t="inlineStr">
        <is>
          <t>ERROR.TYPE SUM small range</t>
        </is>
      </c>
      <c r="B43">
        <f>ERROR.TYPE(SUM([1]Sort!$B$2:$C$3))</f>
        <v>0</v>
      </c>
    </row>
    <row r="44">
      <c r="A44" t="inlineStr">
        <is>
          <t>COUNTA whole column</t>
        </is>
      </c>
      <c r="B44">
        <f>COUNTA([1]Sort!$B:$B)</f>
        <v>0</v>
      </c>
    </row>
    <row r="45">
      <c r="A45" t="inlineStr">
        <is>
          <t>INDEX small range plus one</t>
        </is>
      </c>
      <c r="B45">
        <f>INDEX([1]Sort!$B$2:$C$3,1,1)+1</f>
        <v>0</v>
      </c>
    </row>
    <row r="46">
      <c r="A46" t="inlineStr">
        <is>
          <t>VLOOKUP small range empty sheetData</t>
        </is>
      </c>
      <c r="B46">
        <f>VLOOKUP(5,[1]Bare!$B$2:$D$9,2,FALSE)</f>
        <v>0</v>
      </c>
    </row>
    <row r="47">
      <c r="A47" t="inlineStr">
        <is>
          <t>ERROR.TYPE direct small range under SUMPRODUCT</t>
        </is>
      </c>
      <c r="B47">
        <f>ERROR.TYPE(SUMPRODUCT([1]Sort!$B$2:$C$3))</f>
        <v>0</v>
      </c>
    </row>
    <row r="48">
      <c r="A48" t="inlineStr">
        <is>
          <t>COUNTIF small range</t>
        </is>
      </c>
      <c r="B48">
        <f>COUNTIF([1]Sort!$B$2:$C$3,5)</f>
        <v>0</v>
      </c>
    </row>
    <row r="49">
      <c r="A49" t="inlineStr">
        <is>
          <t>VLOOKUP cached whole columns approximate</t>
        </is>
      </c>
      <c r="B49">
        <f>VLOOKUP(6,[1]Uses!$A:$C,3,TRUE)</f>
        <v>0</v>
      </c>
    </row>
    <row r="50">
      <c r="A50" t="inlineStr">
        <is>
          <t>VLOOKUP cached whole columns column past cache</t>
        </is>
      </c>
      <c r="B50">
        <f>VLOOKUP(5,[1]Uses!$A:$Z,26,FALSE)</f>
        <v>0</v>
      </c>
    </row>
    <row r="51">
      <c r="A51" t="inlineStr">
        <is>
          <t>VLOOKUP whole columns col_index past width</t>
        </is>
      </c>
      <c r="B51">
        <f>VLOOKUP(5,[1]Sort!$B:$Z,30,FALSE)</f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
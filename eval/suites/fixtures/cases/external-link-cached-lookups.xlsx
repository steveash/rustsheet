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90" yWindow="135" windowWidth="13770" windowHeight="7365"/>
  </bookViews>
  <sheets>
    <sheet name="Refs" sheetId="1" r:id="rId1"/>
    <sheet name="DS1" sheetId="4" r:id="rId2"/>
    <sheet name="DS2" sheetId="2" r:id="rId3"/>
  </sheets>
  <externalReferences>
    <externalReference r:id="rId4"/>
  </externalReferences>
  <calcPr calcId="145621"/>
</workbook>
</file>

<file path=xl/sharedStrings.xml><?xml version="1.0" encoding="utf-8"?>
<sst xmlns="http://schemas.openxmlformats.org/spreadsheetml/2006/main" count="4" uniqueCount="4">
  <si>
    <t>This row is local</t>
  </si>
  <si>
    <t>DS1</t>
  </si>
  <si>
    <t>DS2</t>
  </si>
  <si>
    <t>This row is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</si>
</sst>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673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es"/>
      <sheetName val="Defines"/>
      <sheetName val="56737"/>
    </sheetNames>
    <definedNames>
      <definedName name="NR_Global_B2" refersTo="='Defines'!$B$2"/>
      <definedName name="NR_Range" refersTo="='Uses'!$A$1:$B$3"/>
      <definedName name="NR_Local_Range" refersTo="='Defines'!$A$1:$B$2" sheetId="1"/>
      <definedName name="NR_To_A1" refersTo="='Defines'!$A$1" sheetId="1"/>
    </definedNames>
    <sheetDataSet>
      <sheetData sheetId="0">
        <row r="1">
          <cell r="A1" t="str">
            <v>Hello!</v>
          </cell>
          <cell r="B1">
            <v>10</v>
          </cell>
          <cell r="C1" t="e">
            <v>#N/A</v>
          </cell>
        </row>
        <row r="2">
          <cell r="A2">
            <v>5</v>
          </cell>
          <cell r="B2" t="str">
            <v>7</v>
          </cell>
          <cell r="C2">
            <v>1</v>
          </cell>
        </row>
        <row r="3">
          <cell r="A3" t="b">
            <v>1</v>
          </cell>
        </row>
      </sheetData>
      <sheetData sheetId="1">
        <row r="1">
          <cell r="A1" t="str">
            <v>Test A1</v>
          </cell>
        </row>
        <row r="2">
          <cell r="B2">
            <v>142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VLOOKUP text case-insensitive</t>
        </is>
      </c>
      <c r="B1">
        <f>VLOOKUP("hello!",[1]Uses!$A$1:$C$3,2,FALSE)</f>
        <v>0</v>
      </c>
    </row>
    <row r="2">
      <c r="A2" t="inlineStr">
        <is>
          <t>VLOOKUP into uncached column</t>
        </is>
      </c>
      <c r="B2">
        <f>VLOOKUP(5,[1]Uses!$A$1:$D$9,4,FALSE)</f>
        <v>0</v>
      </c>
    </row>
    <row r="3">
      <c r="A3" t="inlineStr">
        <is>
          <t>VLOOKUP not found</t>
        </is>
      </c>
      <c r="B3">
        <f>VLOOKUP(99,[1]Uses!$A$1:$C$9,2,FALSE)</f>
        <v>0</v>
      </c>
    </row>
    <row r="4">
      <c r="A4" t="inlineStr">
        <is>
          <t>HLOOKUP partially cached</t>
        </is>
      </c>
      <c r="B4">
        <f>HLOOKUP(10,[1]Uses!$A$1:$F$4,2,FALSE)</f>
        <v>0</v>
      </c>
    </row>
    <row r="5">
      <c r="A5" t="inlineStr">
        <is>
          <t>MATCH past error cell</t>
        </is>
      </c>
      <c r="B5">
        <f>MATCH(1,[1]Uses!$C$1:$C$5,0)</f>
        <v>0</v>
      </c>
    </row>
    <row r="6">
      <c r="A6" t="inlineStr">
        <is>
          <t>MATCH approximate over blanks</t>
        </is>
      </c>
      <c r="B6">
        <f>MATCH(100,[1]Uses!$B$1:$B$9)</f>
        <v>0</v>
      </c>
    </row>
    <row r="7">
      <c r="A7" t="inlineStr">
        <is>
          <t>XLOOKUP text result</t>
        </is>
      </c>
      <c r="B7">
        <f>_xlfn.XLOOKUP(5,[1]Uses!$A$1:$A$3,[1]Uses!$B$1:$B$3)</f>
        <v>0</v>
      </c>
    </row>
    <row r="8">
      <c r="A8" t="inlineStr">
        <is>
          <t>XLOOKUP not found default</t>
        </is>
      </c>
      <c r="B8">
        <f>_xlfn.XLOOKUP(6,[1]Uses!$A$1:$A$9,[1]Uses!$B$1:$B$9,"none")</f>
        <v>0</v>
      </c>
    </row>
    <row r="9">
      <c r="A9" t="inlineStr">
        <is>
          <t>XMATCH boolean</t>
        </is>
      </c>
      <c r="B9">
        <f>_xlfn.XMATCH(TRUE,[1]Uses!$A$1:$A$5)</f>
        <v>0</v>
      </c>
    </row>
    <row r="10">
      <c r="A10" t="inlineStr">
        <is>
          <t>LOOKUP vector form</t>
        </is>
      </c>
      <c r="B10">
        <f>LOOKUP(10,[1]Uses!$B$1:$B$5,[1]Uses!$A$1:$A$5)</f>
        <v>0</v>
      </c>
    </row>
    <row r="11">
      <c r="A11" t="inlineStr">
        <is>
          <t>INDEX uncached cell</t>
        </is>
      </c>
      <c r="B11">
        <f>INDEX([1]Uses!$A$1:$D$5,5,4)</f>
        <v>0</v>
      </c>
    </row>
    <row r="12">
      <c r="A12" t="inlineStr">
        <is>
          <t>INDEX MATCH over name</t>
        </is>
      </c>
      <c r="B12">
        <f>INDEX([1]!NR_Range,MATCH(5,INDEX([1]!NR_Range,0,1),0),2)</f>
        <v>0</v>
      </c>
    </row>
    <row r="13">
      <c r="A13" t="inlineStr">
        <is>
          <t>MATCH wildcard</t>
        </is>
      </c>
      <c r="B13">
        <f>MATCH("*o!",[1]Uses!$A$1:$A$3,0)</f>
        <v>0</v>
      </c>
    </row>
    <row r="14">
      <c r="A14" t="inlineStr">
        <is>
          <t>blank tail equals empty</t>
        </is>
      </c>
      <c r="B14">
        <f>SUMPRODUCT(([1]Uses!$A$1:$A$9="")*1)</f>
        <v>0</v>
      </c>
    </row>
    <row r="15">
      <c r="A15" t="inlineStr">
        <is>
          <t>lowercase workbook name</t>
        </is>
      </c>
      <c r="B15">
        <f>[1]!nr_global_b2</f>
        <v>0</v>
      </c>
    </row>
    <row r="16">
      <c r="A16" t="inlineStr">
        <is>
          <t>lowercase sheet</t>
        </is>
      </c>
      <c r="B16">
        <f>[1]uses!$B$1</f>
        <v>0</v>
      </c>
    </row>
    <row r="17">
      <c r="A17" t="inlineStr">
        <is>
          <t>lowercase sheet-scoped name</t>
        </is>
      </c>
      <c r="B17">
        <f>[1]defines!nr_to_a1</f>
        <v>0</v>
      </c>
    </row>
    <row r="18">
      <c r="A18" t="inlineStr">
        <is>
          <t>uncached workbook name</t>
        </is>
      </c>
      <c r="B18">
        <f>[1]!NoSuchName</f>
        <v>0</v>
      </c>
    </row>
    <row r="19">
      <c r="A19" t="inlineStr">
        <is>
          <t>ERROR.TYPE uncached name</t>
        </is>
      </c>
      <c r="B19">
        <f>ERROR.TYPE([1]!NoSuchName)</f>
        <v>0</v>
      </c>
    </row>
    <row r="20">
      <c r="A20" t="inlineStr">
        <is>
          <t>uncached sheet one cell</t>
        </is>
      </c>
      <c r="B20">
        <f>[1]Nope!$A$1</f>
        <v>0</v>
      </c>
    </row>
    <row r="21">
      <c r="A21" t="inlineStr">
        <is>
          <t>ISREF uncached sheet</t>
        </is>
      </c>
      <c r="B21">
        <f>ISREF([1]Nope!$A$1)</f>
        <v>0</v>
      </c>
    </row>
    <row r="22">
      <c r="A22" t="inlineStr">
        <is>
          <t>sheet-scoped name without sheet</t>
        </is>
      </c>
      <c r="B22">
        <f>[1]!NR_To_A1</f>
        <v>0</v>
      </c>
    </row>
    <row r="23">
      <c r="A23" t="inlineStr">
        <is>
          <t>workbook name with sheet</t>
        </is>
      </c>
      <c r="B23">
        <f>[1]Uses!NR_Global_B2</f>
        <v>0</v>
      </c>
    </row>
    <row r="24">
      <c r="A24" t="inlineStr">
        <is>
          <t>relative external cell</t>
        </is>
      </c>
      <c r="B24">
        <f>[1]Uses!A1</f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